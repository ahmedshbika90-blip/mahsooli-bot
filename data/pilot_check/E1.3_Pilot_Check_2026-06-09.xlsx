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lot_Check" sheetId="1" state="visible" r:id="rId1"/>
    <sheet name="score_lookup" sheetId="2" state="visible" r:id="rId2"/>
    <sheet name="Signoff_Text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  <col width="19" customWidth="1" min="5" max="5"/>
    <col width="21" customWidth="1" min="6" max="6"/>
    <col width="53" customWidth="1" min="7" max="7"/>
    <col width="55" customWidth="1" min="8" max="8"/>
    <col width="55" customWidth="1" min="9" max="9"/>
  </cols>
  <sheetData>
    <row r="1">
      <c r="A1" s="1" t="inlineStr">
        <is>
          <t>Mahsooli 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Grid key</t>
        </is>
      </c>
      <c r="E1" s="1" t="inlineStr">
        <is>
          <t>Expected V5 score</t>
        </is>
      </c>
      <c r="F1" s="1" t="inlineStr">
        <is>
          <t>Calculated V5 score</t>
        </is>
      </c>
      <c r="G1" s="1" t="inlineStr">
        <is>
          <t>VLOOKUP score</t>
        </is>
      </c>
      <c r="H1" s="1" t="inlineStr">
        <is>
          <t>Check</t>
        </is>
      </c>
      <c r="I1" s="1" t="inlineStr">
        <is>
          <t>Reviewer note</t>
        </is>
      </c>
    </row>
    <row r="2">
      <c r="A2" t="inlineStr">
        <is>
          <t>F001</t>
        </is>
      </c>
      <c r="B2" s="2" t="n">
        <v>13.47</v>
      </c>
      <c r="C2" s="2" t="n">
        <v>35.98</v>
      </c>
      <c r="D2" t="inlineStr">
        <is>
          <t>13.475_35.975</t>
        </is>
      </c>
      <c r="E2" t="n">
        <v>10</v>
      </c>
      <c r="F2" t="n">
        <v>10</v>
      </c>
      <c r="G2">
        <f>IFERROR(VLOOKUP(D2,'score_lookup'!A:B,2,FALSE),"")</f>
        <v/>
      </c>
      <c r="H2">
        <f>IF(D2="","ESCALATE",IF(AND(E2=F2,F2=G2),"OK","MISMATCH"))</f>
        <v/>
      </c>
      <c r="I2" t="inlineStr">
        <is>
          <t>In-AOI; grid cell exact-matched to the CHIRPS lookup; stored score = score recomputed from avg rainfall.</t>
        </is>
      </c>
    </row>
    <row r="3">
      <c r="A3" t="inlineStr">
        <is>
          <t>F002</t>
        </is>
      </c>
      <c r="B3" s="2" t="n">
        <v>13.462</v>
      </c>
      <c r="C3" s="2" t="n">
        <v>36.031</v>
      </c>
      <c r="D3" t="inlineStr">
        <is>
          <t>13.475_36.025</t>
        </is>
      </c>
      <c r="E3" t="n">
        <v>10</v>
      </c>
      <c r="F3" t="n">
        <v>10</v>
      </c>
      <c r="G3">
        <f>IFERROR(VLOOKUP(D3,'score_lookup'!A:B,2,FALSE),"")</f>
        <v/>
      </c>
      <c r="H3">
        <f>IF(D3="","ESCALATE",IF(AND(E3=F3,F3=G3),"OK","MISMATCH"))</f>
        <v/>
      </c>
      <c r="I3" t="inlineStr">
        <is>
          <t>In-AOI; grid cell exact-matched to the CHIRPS lookup; stored score = score recomputed from avg rainfall.</t>
        </is>
      </c>
    </row>
    <row r="4">
      <c r="A4" t="inlineStr">
        <is>
          <t>F003</t>
        </is>
      </c>
      <c r="B4" s="2" t="n">
        <v>13.431</v>
      </c>
      <c r="C4" s="2" t="n">
        <v>35.829</v>
      </c>
      <c r="D4" t="inlineStr">
        <is>
          <t>13.425_35.825</t>
        </is>
      </c>
      <c r="E4" t="n">
        <v>10</v>
      </c>
      <c r="F4" t="n">
        <v>10</v>
      </c>
      <c r="G4">
        <f>IFERROR(VLOOKUP(D4,'score_lookup'!A:B,2,FALSE),"")</f>
        <v/>
      </c>
      <c r="H4">
        <f>IF(D4="","ESCALATE",IF(AND(E4=F4,F4=G4),"OK","MISMATCH"))</f>
        <v/>
      </c>
      <c r="I4" t="inlineStr">
        <is>
          <t>In-AOI; grid cell exact-matched to the CHIRPS lookup; stored score = score recomputed from avg rainfall.</t>
        </is>
      </c>
    </row>
    <row r="5">
      <c r="A5" t="inlineStr">
        <is>
          <t>F004</t>
        </is>
      </c>
      <c r="B5" s="2" t="n">
        <v>13.444</v>
      </c>
      <c r="C5" s="2" t="n">
        <v>35.884</v>
      </c>
      <c r="D5" t="inlineStr">
        <is>
          <t>13.425_35.875</t>
        </is>
      </c>
      <c r="E5" t="n">
        <v>10</v>
      </c>
      <c r="F5" t="n">
        <v>10</v>
      </c>
      <c r="G5">
        <f>IFERROR(VLOOKUP(D5,'score_lookup'!A:B,2,FALSE),"")</f>
        <v/>
      </c>
      <c r="H5">
        <f>IF(D5="","ESCALATE",IF(AND(E5=F5,F5=G5),"OK","MISMATCH"))</f>
        <v/>
      </c>
      <c r="I5" t="inlineStr">
        <is>
          <t>In-AOI; grid cell exact-matched to the CHIRPS lookup; stored score = score recomputed from avg rainfall.</t>
        </is>
      </c>
    </row>
    <row r="6">
      <c r="A6" t="inlineStr">
        <is>
          <t>F005</t>
        </is>
      </c>
      <c r="B6" s="2" t="n">
        <v>13.418</v>
      </c>
      <c r="C6" s="2" t="n">
        <v>35.933</v>
      </c>
      <c r="D6" t="inlineStr">
        <is>
          <t>13.425_35.925</t>
        </is>
      </c>
      <c r="E6" t="n">
        <v>10</v>
      </c>
      <c r="F6" t="n">
        <v>10</v>
      </c>
      <c r="G6">
        <f>IFERROR(VLOOKUP(D6,'score_lookup'!A:B,2,FALSE),"")</f>
        <v/>
      </c>
      <c r="H6">
        <f>IF(D6="","ESCALATE",IF(AND(E6=F6,F6=G6),"OK","MISMATCH"))</f>
        <v/>
      </c>
      <c r="I6" t="inlineStr">
        <is>
          <t>In-AOI; grid cell exact-matched to the CHIRPS lookup; stored score = score recomputed from avg rainfall.</t>
        </is>
      </c>
    </row>
    <row r="7">
      <c r="A7" t="inlineStr">
        <is>
          <t>F006</t>
        </is>
      </c>
      <c r="B7" s="2" t="n">
        <v>13</v>
      </c>
      <c r="C7" s="2" t="n">
        <v>35</v>
      </c>
      <c r="D7" t="inlineStr"/>
      <c r="E7" t="inlineStr"/>
      <c r="F7" t="inlineStr"/>
      <c r="G7">
        <f>IFERROR(VLOOKUP(D7,'score_lookup'!A:B,2,FALSE),"")</f>
        <v/>
      </c>
      <c r="H7">
        <f>IF(D7="","ESCALATE",IF(AND(E7=F7,F7=G7),"OK","MISMATCH"))</f>
        <v/>
      </c>
      <c r="I7" t="inlineStr">
        <is>
          <t>Outside coverage area - no rainfall score (escalate for manual review)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grid_key</t>
        </is>
      </c>
      <c r="B1" s="1" t="inlineStr">
        <is>
          <t>score_1_10</t>
        </is>
      </c>
    </row>
    <row r="2">
      <c r="A2" t="inlineStr">
        <is>
          <t>13.475_35.975</t>
        </is>
      </c>
      <c r="B2" t="n">
        <v>10</v>
      </c>
    </row>
    <row r="3">
      <c r="A3" t="inlineStr">
        <is>
          <t>13.475_36.025</t>
        </is>
      </c>
      <c r="B3" t="n">
        <v>10</v>
      </c>
    </row>
    <row r="4">
      <c r="A4" t="inlineStr">
        <is>
          <t>13.475_36.075</t>
        </is>
      </c>
      <c r="B4" t="n">
        <v>10</v>
      </c>
    </row>
    <row r="5">
      <c r="A5" t="inlineStr">
        <is>
          <t>13.425_35.825</t>
        </is>
      </c>
      <c r="B5" t="n">
        <v>10</v>
      </c>
    </row>
    <row r="6">
      <c r="A6" t="inlineStr">
        <is>
          <t>13.425_35.875</t>
        </is>
      </c>
      <c r="B6" t="n">
        <v>10</v>
      </c>
    </row>
    <row r="7">
      <c r="A7" t="inlineStr">
        <is>
          <t>13.425_35.925</t>
        </is>
      </c>
      <c r="B7" t="n">
        <v>10</v>
      </c>
    </row>
    <row r="8">
      <c r="A8" t="inlineStr">
        <is>
          <t>13.425_35.975</t>
        </is>
      </c>
      <c r="B8" t="n">
        <v>10</v>
      </c>
    </row>
    <row r="9">
      <c r="A9" t="inlineStr">
        <is>
          <t>13.425_36.025</t>
        </is>
      </c>
      <c r="B9" t="n">
        <v>10</v>
      </c>
    </row>
    <row r="10">
      <c r="A10" t="inlineStr">
        <is>
          <t>13.425_36.075</t>
        </is>
      </c>
      <c r="B10" t="n">
        <v>10</v>
      </c>
    </row>
    <row r="11">
      <c r="A11" t="inlineStr">
        <is>
          <t>13.375_35.725</t>
        </is>
      </c>
      <c r="B11" t="n">
        <v>10</v>
      </c>
    </row>
    <row r="12">
      <c r="A12" t="inlineStr">
        <is>
          <t>13.375_35.775</t>
        </is>
      </c>
      <c r="B12" t="n">
        <v>10</v>
      </c>
    </row>
    <row r="13">
      <c r="A13" t="inlineStr">
        <is>
          <t>13.375_35.825</t>
        </is>
      </c>
      <c r="B13" t="n">
        <v>10</v>
      </c>
    </row>
    <row r="14">
      <c r="A14" t="inlineStr">
        <is>
          <t>13.375_35.875</t>
        </is>
      </c>
      <c r="B14" t="n">
        <v>10</v>
      </c>
    </row>
    <row r="15">
      <c r="A15" t="inlineStr">
        <is>
          <t>13.375_35.925</t>
        </is>
      </c>
      <c r="B15" t="n">
        <v>10</v>
      </c>
    </row>
    <row r="16">
      <c r="A16" t="inlineStr">
        <is>
          <t>13.375_35.975</t>
        </is>
      </c>
      <c r="B16" t="n">
        <v>10</v>
      </c>
    </row>
    <row r="17">
      <c r="A17" t="inlineStr">
        <is>
          <t>13.375_36.025</t>
        </is>
      </c>
      <c r="B17" t="n">
        <v>10</v>
      </c>
    </row>
    <row r="18">
      <c r="A18" t="inlineStr">
        <is>
          <t>13.375_36.075</t>
        </is>
      </c>
      <c r="B18" t="n">
        <v>10</v>
      </c>
    </row>
    <row r="19">
      <c r="A19" t="inlineStr">
        <is>
          <t>13.375_36.125</t>
        </is>
      </c>
      <c r="B19" t="n">
        <v>10</v>
      </c>
    </row>
    <row r="20">
      <c r="A20" t="inlineStr">
        <is>
          <t>13.325_35.725</t>
        </is>
      </c>
      <c r="B20" t="n">
        <v>10</v>
      </c>
    </row>
    <row r="21">
      <c r="A21" t="inlineStr">
        <is>
          <t>13.325_35.775</t>
        </is>
      </c>
      <c r="B21" t="n">
        <v>10</v>
      </c>
    </row>
    <row r="22">
      <c r="A22" t="inlineStr">
        <is>
          <t>13.325_35.825</t>
        </is>
      </c>
      <c r="B22" t="n">
        <v>10</v>
      </c>
    </row>
    <row r="23">
      <c r="A23" t="inlineStr">
        <is>
          <t>13.325_35.875</t>
        </is>
      </c>
      <c r="B23" t="n">
        <v>10</v>
      </c>
    </row>
    <row r="24">
      <c r="A24" t="inlineStr">
        <is>
          <t>13.325_35.925</t>
        </is>
      </c>
      <c r="B24" t="n">
        <v>10</v>
      </c>
    </row>
    <row r="25">
      <c r="A25" t="inlineStr">
        <is>
          <t>13.325_35.975</t>
        </is>
      </c>
      <c r="B25" t="n">
        <v>10</v>
      </c>
    </row>
    <row r="26">
      <c r="A26" t="inlineStr">
        <is>
          <t>13.325_36.025</t>
        </is>
      </c>
      <c r="B26" t="n">
        <v>10</v>
      </c>
    </row>
    <row r="27">
      <c r="A27" t="inlineStr">
        <is>
          <t>13.325_36.075</t>
        </is>
      </c>
      <c r="B27" t="n">
        <v>10</v>
      </c>
    </row>
    <row r="28">
      <c r="A28" t="inlineStr">
        <is>
          <t>13.325_36.125</t>
        </is>
      </c>
      <c r="B28" t="n">
        <v>10</v>
      </c>
    </row>
    <row r="29">
      <c r="A29" t="inlineStr">
        <is>
          <t>13.275_35.725</t>
        </is>
      </c>
      <c r="B29" t="n">
        <v>10</v>
      </c>
    </row>
    <row r="30">
      <c r="A30" t="inlineStr">
        <is>
          <t>13.275_35.775</t>
        </is>
      </c>
      <c r="B30" t="n">
        <v>10</v>
      </c>
    </row>
    <row r="31">
      <c r="A31" t="inlineStr">
        <is>
          <t>13.275_35.825</t>
        </is>
      </c>
      <c r="B31" t="n">
        <v>10</v>
      </c>
    </row>
    <row r="32">
      <c r="A32" t="inlineStr">
        <is>
          <t>13.275_35.875</t>
        </is>
      </c>
      <c r="B32" t="n">
        <v>10</v>
      </c>
    </row>
    <row r="33">
      <c r="A33" t="inlineStr">
        <is>
          <t>13.275_35.925</t>
        </is>
      </c>
      <c r="B33" t="n">
        <v>10</v>
      </c>
    </row>
    <row r="34">
      <c r="A34" t="inlineStr">
        <is>
          <t>13.275_35.975</t>
        </is>
      </c>
      <c r="B34" t="n">
        <v>10</v>
      </c>
    </row>
    <row r="35">
      <c r="A35" t="inlineStr">
        <is>
          <t>13.275_36.025</t>
        </is>
      </c>
      <c r="B35" t="n">
        <v>10</v>
      </c>
    </row>
    <row r="36">
      <c r="A36" t="inlineStr">
        <is>
          <t>13.275_36.075</t>
        </is>
      </c>
      <c r="B36" t="n">
        <v>10</v>
      </c>
    </row>
    <row r="37">
      <c r="A37" t="inlineStr">
        <is>
          <t>13.275_36.125</t>
        </is>
      </c>
      <c r="B37" t="n">
        <v>10</v>
      </c>
    </row>
    <row r="38">
      <c r="A38" t="inlineStr">
        <is>
          <t>13.275_36.175</t>
        </is>
      </c>
      <c r="B38" t="n">
        <v>10</v>
      </c>
    </row>
    <row r="39">
      <c r="A39" t="inlineStr">
        <is>
          <t>13.225_35.775</t>
        </is>
      </c>
      <c r="B39" t="n">
        <v>10</v>
      </c>
    </row>
    <row r="40">
      <c r="A40" t="inlineStr">
        <is>
          <t>13.225_35.825</t>
        </is>
      </c>
      <c r="B40" t="n">
        <v>10</v>
      </c>
    </row>
    <row r="41">
      <c r="A41" t="inlineStr">
        <is>
          <t>13.225_35.875</t>
        </is>
      </c>
      <c r="B41" t="n">
        <v>10</v>
      </c>
    </row>
    <row r="42">
      <c r="A42" t="inlineStr">
        <is>
          <t>13.225_35.925</t>
        </is>
      </c>
      <c r="B42" t="n">
        <v>10</v>
      </c>
    </row>
    <row r="43">
      <c r="A43" t="inlineStr">
        <is>
          <t>13.225_35.975</t>
        </is>
      </c>
      <c r="B43" t="n">
        <v>10</v>
      </c>
    </row>
    <row r="44">
      <c r="A44" t="inlineStr">
        <is>
          <t>13.225_36.025</t>
        </is>
      </c>
      <c r="B44" t="n">
        <v>10</v>
      </c>
    </row>
    <row r="45">
      <c r="A45" t="inlineStr">
        <is>
          <t>13.225_36.075</t>
        </is>
      </c>
      <c r="B45" t="n">
        <v>10</v>
      </c>
    </row>
    <row r="46">
      <c r="A46" t="inlineStr">
        <is>
          <t>13.175_35.775</t>
        </is>
      </c>
      <c r="B46" t="n">
        <v>10</v>
      </c>
    </row>
    <row r="47">
      <c r="A47" t="inlineStr">
        <is>
          <t>13.175_35.825</t>
        </is>
      </c>
      <c r="B47" t="n">
        <v>10</v>
      </c>
    </row>
    <row r="48">
      <c r="A48" t="inlineStr">
        <is>
          <t>13.175_35.875</t>
        </is>
      </c>
      <c r="B48" t="n">
        <v>10</v>
      </c>
    </row>
    <row r="49">
      <c r="A49" t="inlineStr">
        <is>
          <t>13.175_35.925</t>
        </is>
      </c>
      <c r="B49" t="n">
        <v>10</v>
      </c>
    </row>
    <row r="50">
      <c r="A50" t="inlineStr">
        <is>
          <t>13.175_35.975</t>
        </is>
      </c>
      <c r="B50" t="n">
        <v>10</v>
      </c>
    </row>
    <row r="51">
      <c r="A51" t="inlineStr">
        <is>
          <t>13.125_35.775</t>
        </is>
      </c>
      <c r="B51" t="n">
        <v>10</v>
      </c>
    </row>
    <row r="52">
      <c r="A52" t="inlineStr">
        <is>
          <t>13.125_35.825</t>
        </is>
      </c>
      <c r="B52" t="n">
        <v>10</v>
      </c>
    </row>
    <row r="53">
      <c r="A53" t="inlineStr">
        <is>
          <t>13.125_35.875</t>
        </is>
      </c>
      <c r="B5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Deliverable</t>
        </is>
      </c>
      <c r="B2" t="inlineStr">
        <is>
          <t>E1.3 Pilot Launch Check</t>
        </is>
      </c>
    </row>
    <row r="3">
      <c r="A3" t="inlineStr">
        <is>
          <t>Sign-off statement</t>
        </is>
      </c>
      <c r="B3" t="inlineStr">
        <is>
          <t>I confirm that the V5 rainfall scores calculate correctly for the 5 in-AOI farmers. The following are outside CHIRPS coverage and are escalated for manual review before approval: F006.</t>
        </is>
      </c>
    </row>
    <row r="4">
      <c r="A4" t="inlineStr">
        <is>
          <t>Reviewer name</t>
        </is>
      </c>
      <c r="B4" t="inlineStr"/>
    </row>
    <row r="5">
      <c r="A5" t="inlineStr">
        <is>
          <t>Reviewer role</t>
        </is>
      </c>
      <c r="B5" t="inlineStr"/>
    </row>
    <row r="6">
      <c r="A6" t="inlineStr">
        <is>
          <t>Date</t>
        </is>
      </c>
      <c r="B6" t="inlineStr"/>
    </row>
    <row r="7">
      <c r="A7" t="inlineStr">
        <is>
          <t>Status</t>
        </is>
      </c>
      <c r="B7" t="inlineStr">
        <is>
          <t>Ready - 5 scored, 1 escalated for manual review</t>
        </is>
      </c>
    </row>
    <row r="8">
      <c r="A8" t="inlineStr">
        <is>
          <t>Generated date</t>
        </is>
      </c>
      <c r="B8" t="inlineStr">
        <is>
          <t>2026-06-09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2026-06-09T21:37:17Z</dcterms:created>
  <dcterms:modified xsi:type="dcterms:W3CDTF">2026-06-09T21:37:17Z</dcterms:modified>
</cp:coreProperties>
</file>