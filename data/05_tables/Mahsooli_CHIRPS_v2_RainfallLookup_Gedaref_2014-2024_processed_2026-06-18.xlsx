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lookup" sheetId="1" state="visible" r:id="rId1"/>
    <sheet name="farmers_demo" sheetId="2" state="visible" r:id="rId2"/>
    <sheet name="methodolog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41" customWidth="1" min="5" max="5"/>
    <col width="29" customWidth="1" min="6" max="6"/>
    <col width="30" customWidth="1" min="7" max="7"/>
  </cols>
  <sheetData>
    <row r="1">
      <c r="A1" s="1" t="inlineStr">
        <is>
          <t>farmer_id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grid_key</t>
        </is>
      </c>
      <c r="E1" s="1" t="inlineStr">
        <is>
          <t>rainfall_score_vlookup</t>
        </is>
      </c>
      <c r="F1" s="1" t="inlineStr">
        <is>
          <t>expected_score_python_check</t>
        </is>
      </c>
      <c r="G1" s="1" t="inlineStr">
        <is>
          <t>check_vlookup_matches_python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s="3">
        <f>VLOOKUP(D2,'score_lookup'!A:B,2,FALSE)</f>
        <v/>
      </c>
      <c r="F2" s="3" t="n">
        <v>10</v>
      </c>
      <c r="G2">
        <f>E2=F2</f>
        <v/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s="3">
        <f>VLOOKUP(D3,'score_lookup'!A:B,2,FALSE)</f>
        <v/>
      </c>
      <c r="F3" s="3" t="n">
        <v>10</v>
      </c>
      <c r="G3">
        <f>E3=F3</f>
        <v/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s="3">
        <f>VLOOKUP(D4,'score_lookup'!A:B,2,FALSE)</f>
        <v/>
      </c>
      <c r="F4" s="3" t="n">
        <v>10</v>
      </c>
      <c r="G4">
        <f>E4=F4</f>
        <v/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s="3">
        <f>VLOOKUP(D5,'score_lookup'!A:B,2,FALSE)</f>
        <v/>
      </c>
      <c r="F5" s="3" t="n">
        <v>10</v>
      </c>
      <c r="G5">
        <f>E5=F5</f>
        <v/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s="3">
        <f>VLOOKUP(D6,'score_lookup'!A:B,2,FALSE)</f>
        <v/>
      </c>
      <c r="F6" s="3" t="n">
        <v>10</v>
      </c>
      <c r="G6">
        <f>E6=F6</f>
        <v/>
      </c>
    </row>
    <row r="7">
      <c r="A7" t="inlineStr">
        <is>
          <t>F006</t>
        </is>
      </c>
      <c r="B7" s="2" t="n">
        <v>13</v>
      </c>
      <c r="C7" s="2" t="n">
        <v>35</v>
      </c>
      <c r="D7" t="inlineStr">
        <is>
          <t>13.025_35.025</t>
        </is>
      </c>
      <c r="E7" s="3">
        <f>VLOOKUP(D7,'score_lookup'!A:B,2,FALSE)</f>
        <v/>
      </c>
      <c r="F7" s="3" t="inlineStr"/>
      <c r="G7">
        <f>E7=F7</f>
        <v/>
      </c>
    </row>
    <row r="10">
      <c r="A10" s="4" t="inlineStr">
        <is>
          <t>How the formulas work</t>
        </is>
      </c>
    </row>
    <row r="11">
      <c r="A11" t="inlineStr">
        <is>
          <t>Column D contains the CHIRPS 0.05 degree grid_key for each sample farmer coordinate.</t>
        </is>
      </c>
    </row>
    <row r="12">
      <c r="A12" t="inlineStr">
        <is>
          <t>Column E contains the working VLOOKUP formula that finds that grid_key in score_lookup and returns score_1_10.</t>
        </is>
      </c>
    </row>
    <row r="13">
      <c r="A13" t="inlineStr">
        <is>
          <t>Formula used in E2:</t>
        </is>
      </c>
      <c r="B13" t="inlineStr">
        <is>
          <t xml:space="preserve"> =VLOOKUP(D2,'score_lookup'!A:B,2,FALSE)</t>
        </is>
      </c>
    </row>
    <row r="14">
      <c r="A14" t="inlineStr">
        <is>
          <t>Rows above use the configured farmer GPS file; for new farmer data, calculate grid_key from lat/lon using the same 0.05 degree CHIRPS grid rule, then copy the VLOOKUP formula down.</t>
        </is>
      </c>
    </row>
    <row r="15">
      <c r="A15" t="inlineStr">
        <is>
          <t>Source detailed lookup CSV: Mahala_CHIRPS_grid_lookup_2014_2024_11years.csv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CHIRPS v2.0 monthly precipitation</t>
        </is>
      </c>
    </row>
    <row r="3">
      <c r="A3" t="inlineStr">
        <is>
          <t>Source website</t>
        </is>
      </c>
      <c r="B3" t="inlineStr">
        <is>
          <t>data.chc.ucsb.edu</t>
        </is>
      </c>
    </row>
    <row r="4">
      <c r="A4" t="inlineStr">
        <is>
          <t>Area</t>
        </is>
      </c>
      <c r="B4" t="inlineStr">
        <is>
          <t>Gedaref bounding box, approx. lat 13.5-14.5 N, lon 35.0-36.5 E</t>
        </is>
      </c>
    </row>
    <row r="5">
      <c r="A5" t="inlineStr">
        <is>
          <t>Grid resolution</t>
        </is>
      </c>
      <c r="B5" t="inlineStr">
        <is>
          <t>0.05 degrees</t>
        </is>
      </c>
    </row>
    <row r="6">
      <c r="A6" t="inlineStr">
        <is>
          <t>Season</t>
        </is>
      </c>
      <c r="B6" t="inlineStr">
        <is>
          <t>June-September</t>
        </is>
      </c>
    </row>
    <row r="7">
      <c r="A7" t="inlineStr">
        <is>
          <t>Data period</t>
        </is>
      </c>
      <c r="B7" t="inlineStr">
        <is>
          <t>2014-2024</t>
        </is>
      </c>
    </row>
    <row r="8">
      <c r="A8" t="inlineStr">
        <is>
          <t>Period note</t>
        </is>
      </c>
      <c r="B8" t="inlineStr">
        <is>
          <t>Client-approved inclusive period; 2014-2024 contains 11 yearly seasons.</t>
        </is>
      </c>
    </row>
    <row r="9">
      <c r="A9" t="inlineStr">
        <is>
          <t>Download/processing date</t>
        </is>
      </c>
      <c r="B9" t="inlineStr">
        <is>
          <t>2026-06-18</t>
        </is>
      </c>
    </row>
    <row r="10">
      <c r="A10" t="inlineStr">
        <is>
          <t>Scoring scale</t>
        </is>
      </c>
      <c r="B10" t="inlineStr">
        <is>
          <t>&gt;=350 mm = 10; 250-349 mm = 7; 150-249 mm = 4; &lt;150 mm = 1</t>
        </is>
      </c>
    </row>
    <row r="11">
      <c r="A11" t="inlineStr">
        <is>
          <t>Lookup table tab</t>
        </is>
      </c>
      <c r="B11" s="5" t="inlineStr">
        <is>
          <t>score_lookup</t>
        </is>
      </c>
    </row>
    <row r="12">
      <c r="A12" t="inlineStr">
        <is>
          <t>Demo tab</t>
        </is>
      </c>
      <c r="B12" t="inlineStr">
        <is>
          <t>farmers_demo</t>
        </is>
      </c>
    </row>
    <row r="13">
      <c r="A13" t="inlineStr">
        <is>
          <t>Source detailed lookup CSV</t>
        </is>
      </c>
      <c r="B13" t="inlineStr">
        <is>
          <t>Mahala_CHIRPS_grid_lookup_2014_2024_11years.csv</t>
        </is>
      </c>
    </row>
    <row r="14">
      <c r="A14" t="inlineStr">
        <is>
          <t>Source farmer CSV</t>
        </is>
      </c>
      <c r="B14" t="inlineStr">
        <is>
          <t>/home/runner/work/mahsooli-gis/mahsooli-gis/docs/sample_farmers.csv</t>
        </is>
      </c>
    </row>
    <row r="15">
      <c r="A15" t="inlineStr">
        <is>
          <t>Generated workbook name</t>
        </is>
      </c>
      <c r="B15" t="inlineStr">
        <is>
          <t>Mahsooli_CHIRPS_v2_RainfallLookup_Gedaref_2014-2024_processed_2026-06-18.xlsx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2026-06-18T11:33:53Z</dcterms:created>
  <dcterms:modified xsi:type="dcterms:W3CDTF">2026-06-18T11:33:53Z</dcterms:modified>
</cp:coreProperties>
</file>